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AVEN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W117"/>
  <sheetViews>
    <sheetView workbookViewId="0"/>
  </sheetViews>
  <cols>
    <col min="1" max="1" customWidth="1" width="6.1640625"/>
    <col min="2" max="2" customWidth="1" width="6.1640625"/>
    <col min="3" max="3" customWidth="1" width="6.1640625"/>
    <col min="4" max="4" customWidth="1" width="6.1640625"/>
    <col min="5" max="5" customWidth="1" width="6.1640625"/>
    <col min="6" max="6" customWidth="1" width="6.1640625"/>
    <col min="7" max="7" customWidth="1" width="6.1640625"/>
    <col min="8" max="8" customWidth="1" width="6.1640625"/>
    <col min="9" max="9" customWidth="1" width="10.83203125"/>
    <col min="10" max="10" customWidth="1" width="6.1640625"/>
    <col min="11" max="11" customWidth="1" width="6.1640625"/>
    <col min="12" max="12" customWidth="1" width="6.1640625"/>
    <col min="13" max="13" customWidth="1" width="7.83203125"/>
    <col min="14" max="14" customWidth="1" width="6.1640625"/>
    <col min="15" max="15" customWidth="1" width="6.1640625"/>
    <col min="16" max="16" customWidth="1" width="6.1640625"/>
    <col min="17" max="17" customWidth="1" width="6.1640625"/>
    <col min="18" max="18" customWidth="1" width="6.1640625"/>
    <col min="19" max="19" customWidth="1" width="6.1640625"/>
    <col min="20" max="20" customWidth="1" width="6.1640625"/>
  </cols>
  <sheetData>
    <row r="2">
      <c r="A2" t="str">
        <v>CONTRATO DE COMPRAVENTA DE VEHICULO AUTOMOTOR</v>
      </c>
    </row>
    <row r="4">
      <c r="B4" t="str">
        <v>LUGAR Y FECHA DE CELEBRACION DEL CONTRATO:</v>
      </c>
      <c r="J4" t="str">
        <f>CONCATENATE(DATOS!E26,"     ",DATOS!F26,"/",DATOS!G26,"/",DATOS!H26)</f>
        <v>IBAGUE     23/5/2026</v>
      </c>
    </row>
    <row r="6">
      <c r="B6" t="str">
        <v>NOMBRE VENDEDOR:</v>
      </c>
      <c r="F6" t="str">
        <f>CONCATENATE(DATOS!B3," ",DATOS!C3," ",DATOS!D3)</f>
        <v>MORENO ROZO LORENA</v>
      </c>
    </row>
    <row r="7">
      <c r="B7" t="str">
        <v>IDENTIFICACION:</v>
      </c>
      <c r="F7">
        <f>DATOS!B5</f>
        <v>3183023815</v>
      </c>
    </row>
    <row r="8">
      <c r="B8" t="str">
        <v>DIRECCION:</v>
      </c>
      <c r="F8" t="str">
        <f>DATOS!B7</f>
        <v>Cr 8 sur 93 -65 conjunto Altagracia</v>
      </c>
    </row>
    <row r="9">
      <c r="B9" t="str">
        <v>CELULAR:</v>
      </c>
      <c r="F9">
        <f>DATOS!B5</f>
        <v>3183023815</v>
      </c>
    </row>
    <row r="10">
      <c r="B10" t="str">
        <v>CORREO ELECTRONICO:</v>
      </c>
      <c r="F10" t="str">
        <f>DATOS!B6</f>
        <v>loremapamati3@gmail.com</v>
      </c>
    </row>
    <row r="12">
      <c r="B12" t="str">
        <v>NOMBRE COMPRADOR:</v>
      </c>
      <c r="F12" t="str">
        <f>CONCATENATE(DATOS!B11," ",DATOS!C11," ",DATOS!D11)</f>
        <v>LOAIZA IDARRAGA LUCELY</v>
      </c>
    </row>
    <row r="13">
      <c r="B13" t="str">
        <v>IDENTIFICACION:</v>
      </c>
      <c r="F13">
        <f>DATOS!B12</f>
        <v>52536644</v>
      </c>
    </row>
    <row r="14">
      <c r="B14" t="str">
        <v>DIRECCION:</v>
      </c>
      <c r="F14" t="str">
        <f>DATOS!B15</f>
        <v xml:space="preserve">Mnz e casa 22 barrio entre ríos </v>
      </c>
    </row>
    <row r="15">
      <c r="B15" t="str">
        <v>CELULAR:</v>
      </c>
      <c r="F15">
        <f>DATOS!B13</f>
        <v>3102925585</v>
      </c>
    </row>
    <row r="16">
      <c r="B16" t="str">
        <v>CORREO ELECTRONICO:</v>
      </c>
      <c r="F16" t="str">
        <f>DATOS!B14</f>
        <v>Lucelyloaiza07@gmail.com</v>
      </c>
    </row>
    <row r="19">
      <c r="B19" t="str">
        <v xml:space="preserve">LAS PARTES CONVIENEN CELEBRAR EL PRESENTE CONTRATO DE COMPRAVENTA, QUE SE REGIRA </v>
      </c>
    </row>
    <row r="20" ht="6.599999999999999" customHeight="1"/>
    <row r="21">
      <c r="B21" t="str">
        <v>POR LAS  ANTERIORES ESTIPULACIONES, LAS NORMAS LEGALES APLICABLESA LA MATERIA Y EN</v>
      </c>
    </row>
    <row r="22" ht="6.599999999999999" customHeight="1"/>
    <row r="23">
      <c r="B23" t="str">
        <v xml:space="preserve">ESPECIAL POR LAS SIGUIENTES CLAUSULAS : PRIMERA : OBJETO DEL CONTRATO: EL VENDEDOR </v>
      </c>
    </row>
    <row r="24" ht="6.599999999999999" customHeight="1"/>
    <row r="25">
      <c r="B25" t="str">
        <v>TRANSFIERE  A TITULO DE VENTA Y EL COMPRADOR  ADQUIERE A LA PROPIEDAD DEL VEHICULO</v>
      </c>
    </row>
    <row r="26" ht="6.599999999999999" customHeight="1"/>
    <row r="27">
      <c r="B27" t="str">
        <v>AUTOMOTOR QUE A CONTINUACION SE IDENTIFICA:</v>
      </c>
    </row>
    <row r="29">
      <c r="B29" t="str">
        <v>PLACAS:</v>
      </c>
      <c r="F29" t="str">
        <f>DATOS!B19</f>
        <v>GRV119</v>
      </c>
    </row>
    <row r="30">
      <c r="B30" t="str">
        <v>MODELO:</v>
      </c>
      <c r="F30">
        <f>DATOS!B20</f>
        <v>2020</v>
      </c>
    </row>
    <row r="31">
      <c r="B31" t="str">
        <v>CLASE:</v>
      </c>
      <c r="F31" t="str">
        <f>DATOS!B21</f>
        <v>AUTOMOVIL</v>
      </c>
    </row>
    <row r="32">
      <c r="B32" t="str">
        <v>MARCA:</v>
      </c>
      <c r="F32" t="str">
        <f>DATOS!B22</f>
        <v>RENAULT</v>
      </c>
    </row>
    <row r="33">
      <c r="B33" t="str">
        <v>LINEA:</v>
      </c>
      <c r="F33" t="str">
        <f>DATOS!B23</f>
        <v>SANDERO</v>
      </c>
    </row>
    <row r="34">
      <c r="B34" t="str">
        <v>COLOR:</v>
      </c>
      <c r="F34" t="str">
        <f>DATOS!B24</f>
        <v>ROJO FUEGO</v>
      </c>
    </row>
    <row r="35">
      <c r="B35" t="str">
        <v>PUERTAS:</v>
      </c>
      <c r="F35">
        <f>DATOS!B25</f>
        <v>5</v>
      </c>
    </row>
    <row r="36">
      <c r="B36" t="str">
        <v>SERVICIO:</v>
      </c>
      <c r="F36" t="str">
        <f>DATOS!B26</f>
        <v>PARTICULAR</v>
      </c>
    </row>
    <row r="37">
      <c r="B37" t="str">
        <v>MOTOR NO:</v>
      </c>
      <c r="F37" t="str">
        <f>DATOS!B27</f>
        <v>A812UF91875</v>
      </c>
    </row>
    <row r="38">
      <c r="B38" t="str">
        <v>CHASIS:</v>
      </c>
      <c r="F38" t="str">
        <f>DATOS!B29</f>
        <v>9FB5SREB4LM325716</v>
      </c>
    </row>
    <row r="41">
      <c r="B41" t="str">
        <v>SEGUNDA : PRECIO : COMO  PRECIO  DEL AUTOMOTOR  LAS  PARTES  ACUERDAN  LA  SUMA  DE :</v>
      </c>
    </row>
    <row r="42" ht="4.9" customHeight="1"/>
    <row r="43">
      <c r="B43">
        <f>DATOS!B40</f>
        <v>30000000</v>
      </c>
    </row>
    <row r="45">
      <c r="B45" t="str">
        <v xml:space="preserve">TERCERA : FORMA  DE PAGO : EL  COMPRADOR SE COMPROMETE  A  PAGAR EL PRECIO A QUE  SE </v>
      </c>
    </row>
    <row r="46" ht="4.15" customHeight="1"/>
    <row r="47">
      <c r="B47" t="str">
        <v>REFIERE LA CLAUSULA ANTERIOR DE LA SIGUIENTE FORMA:</v>
      </c>
      <c r="K47" t="str">
        <f>DATOS!B41</f>
        <v>EFCTIVO</v>
      </c>
    </row>
    <row r="48" ht="6.599999999999999" customHeight="1"/>
    <row r="49"/>
    <row r="51">
      <c r="B51" t="str">
        <v xml:space="preserve">CUARTA: OBLIGACIONES DEL VENDEDOR: HACE ENTREGA DEL VEHICULO LIBRE DE GRAVAMENES, </v>
      </c>
    </row>
    <row r="52" ht="6.599999999999999" customHeight="1"/>
    <row r="53">
      <c r="B53" t="str">
        <v>EMBARGOS, MULTAS, IMPUESTOS, COMPARENDOS DE TRANSITO, PACTOS DE RESERVA DE DOMINIO</v>
      </c>
    </row>
    <row r="54" ht="6.599999999999999" customHeight="1"/>
    <row r="55">
      <c r="B55" t="str">
        <v xml:space="preserve">Y  CUALQUIER  OTRA  CIRCUNSTANCIA  QUE  AFECTE EL LIBRE  COMERCIO  DEL  BIEN OBJETO DEL </v>
      </c>
    </row>
    <row r="56" ht="6.599999999999999" customHeight="1"/>
    <row r="57">
      <c r="B57" t="str">
        <v>PRESENTE CONTRATO.</v>
      </c>
    </row>
    <row r="61"/>
    <row r="62">
      <c r="B62" t="str">
        <v xml:space="preserve">QUINTA: ENTREGA: EN LA FECHA </v>
      </c>
      <c r="H62" t="str">
        <f>CONCATENATE(DATOS!F26,"/",DATOS!G26,"/",DATOS!H26)</f>
        <v>23/5/2026</v>
      </c>
      <c r="J62" t="str">
        <v>EL VENDEDOR HACE ENTREGA MATERIAL</v>
      </c>
    </row>
    <row r="63" ht="4.9" customHeight="1"/>
    <row r="64">
      <c r="B64" t="str">
        <v xml:space="preserve">DEL VEHICULO  OBJETO  DEL  PRESENTE CONTRATO  AL  COMPRADOR,  Y  ESTE ASI  LO ACEPTA Y </v>
      </c>
    </row>
    <row r="65" ht="4.9" customHeight="1"/>
    <row r="66">
      <c r="B66" t="str">
        <v>DECLARA QUE CONOCE EL ESTADO EN QUE SE ENCUENTRA  EL BIEN OBJETO DE ESTE CONTRATO.</v>
      </c>
    </row>
    <row r="68">
      <c r="B68" t="str">
        <v xml:space="preserve">SEXTA: RESPONSABILIDAD: SERÁ IMPUTABLE AL COMPRADOR TODA RESPONSABILIDAD DESDE EL </v>
      </c>
    </row>
    <row r="69" ht="5.45" customHeight="1"/>
    <row r="70">
      <c r="B70" t="str">
        <v>MOMENTO DE LA ENTREGA MATERIAL Y HASTA EL TRASPASO DEL VEHÍCULO DE PLACA</v>
      </c>
      <c r="O70" t="str">
        <f>DATOS!B19</f>
        <v>GRV119</v>
      </c>
    </row>
    <row r="71" ht="4.9" customHeight="1"/>
    <row r="72">
      <c r="B72" t="str">
        <v xml:space="preserve">POR TODO TIPO DE RECLAMACIÓN, ACCIÓN JUDICIAL, CONCILIACIÓN, COBRO COACTIVO Y DEMÁS </v>
      </c>
    </row>
    <row r="73" ht="4.9" customHeight="1"/>
    <row r="74">
      <c r="B74" t="str">
        <v>REQUERIMIENTOS QUE CUALQUIER PERSONA INTERPONGA SOBRE EL MISMO.</v>
      </c>
    </row>
    <row r="76">
      <c r="B76" t="str">
        <v xml:space="preserve">SÉPTIMA: TRAMITES: EL COMPRADOR SE OBLIGA A REALIZAR LOS TRAMITES DE TRASPASO ANTE </v>
      </c>
    </row>
    <row r="77" ht="4.9" customHeight="1"/>
    <row r="78">
      <c r="B78" t="str">
        <v>LA AUTORIDAD CORRESPONDIENTE DEL VEHÍCULO DESCRITO, EN UN PLAZO DE 30 DIAS.</v>
      </c>
    </row>
    <row r="80">
      <c r="B80" t="str">
        <v>OCTAVA:  RESERVA  DEL DOMINIO : EL VENDEDOR  SE RESERVA  LA PROPIEDAD  DEL VEHICULO</v>
      </c>
    </row>
    <row r="81" ht="4.15" customHeight="1"/>
    <row r="82">
      <c r="B82" t="str">
        <v xml:space="preserve"> IDENTIFICADO  EN  LA  CLAUSULA PRIMERA DEL PRESENTE CONTRATO,HASTA EL MOMENTO EN </v>
      </c>
    </row>
    <row r="83" ht="3.6" customHeight="1"/>
    <row r="84">
      <c r="B84" t="str">
        <v xml:space="preserve">QUE SE PAGUE EL PRECIO ESTIPULADO EN SU TOTALIDAD, DE CONFORMIDAD CON EL ARTICULO </v>
      </c>
    </row>
    <row r="85" ht="4.9" customHeight="1"/>
    <row r="86">
      <c r="B86" t="str">
        <v>952 DEL CODIGO DE COMERCIO.</v>
      </c>
    </row>
    <row r="88">
      <c r="B88" t="str">
        <v xml:space="preserve">NOVENA: CLAUSULA PENAL: LAS PARTES ESTABLECEN COMO SANCION PECUNIARIA A CARGO DE </v>
      </c>
    </row>
    <row r="89" ht="4.9" customHeight="1"/>
    <row r="90">
      <c r="B90" t="str">
        <v xml:space="preserve">QUIEN  INCUMPLA  CUALQUIERA  DE LAS ESTIPULACIONES DERIVADAS DE ESTE ACTO JURIDICO, </v>
      </c>
    </row>
    <row r="91" ht="4.9" customHeight="1"/>
    <row r="92">
      <c r="B92" t="str">
        <v>LA SUMA DE</v>
      </c>
      <c r="D92" t="str">
        <f>DATOS!B44</f>
        <v>3,000,000</v>
      </c>
      <c r="H92" t="str">
        <v>SIN PERJUICIO DE LA INDEMNIZACION A QUE HAYA LUGAR.</v>
      </c>
    </row>
    <row r="94">
      <c r="B94" t="str">
        <v xml:space="preserve">DECIMA : GASTOS : LOS  GASTOS  QUE  SE OCASIONEN  CON  MOTIVO  DE  LA  FIRMA  DE  ESTA </v>
      </c>
    </row>
    <row r="95" ht="2.45" customHeight="1"/>
    <row r="96">
      <c r="B96" t="str">
        <v>COMPRAVENTA  SERAN CUBIERTOS POR EL VENDEDOR.</v>
      </c>
    </row>
    <row r="99">
      <c r="B99" t="str">
        <v xml:space="preserve">EN  CONSTANCIA  DE  LO  ANTERIOR , LOS  CONTRATANTES  SUSCRIBEN  ESTE  DOCUMENTO ANTE </v>
      </c>
    </row>
    <row r="100" ht="2.45" customHeight="1"/>
    <row r="101">
      <c r="B101" t="str">
        <v>TESTIGOS  HABILES, EN LA CIUDAD DE  IBAGUE, EL DIA</v>
      </c>
      <c r="J101" t="str">
        <f>CONCATENATE(DATOS!F26,"/",DATOS!G26,"/",DATOS!H26)</f>
        <v>23/5/2026</v>
      </c>
    </row>
    <row r="106">
      <c r="B106" t="str">
        <v>VENDEDOR</v>
      </c>
      <c r="J106" t="str">
        <v>COMPRADOR</v>
      </c>
    </row>
    <row r="114"/>
    <row r="115">
      <c r="B115" t="str">
        <v>FIRMA</v>
      </c>
      <c r="J115" t="str">
        <v>FIRMA</v>
      </c>
    </row>
    <row r="117">
      <c r="B117" t="str">
        <v>CC</v>
      </c>
      <c r="J117" t="str">
        <v>CC</v>
      </c>
    </row>
  </sheetData>
  <mergeCells count="29">
    <mergeCell ref="F10:M10"/>
    <mergeCell ref="F12:M12"/>
    <mergeCell ref="F13:M13"/>
    <mergeCell ref="F14:M14"/>
    <mergeCell ref="A2:P2"/>
    <mergeCell ref="F6:M6"/>
    <mergeCell ref="F7:M7"/>
    <mergeCell ref="J4:O4"/>
    <mergeCell ref="F8:M8"/>
    <mergeCell ref="F9:M9"/>
    <mergeCell ref="O70:P70"/>
    <mergeCell ref="D92:G92"/>
    <mergeCell ref="F15:M15"/>
    <mergeCell ref="F16:M16"/>
    <mergeCell ref="F29:M29"/>
    <mergeCell ref="F30:M30"/>
    <mergeCell ref="F31:M31"/>
    <mergeCell ref="K47:P47"/>
    <mergeCell ref="B43:P43"/>
    <mergeCell ref="B49:P49"/>
    <mergeCell ref="F33:M33"/>
    <mergeCell ref="F34:M34"/>
    <mergeCell ref="F35:M35"/>
    <mergeCell ref="F36:M36"/>
    <mergeCell ref="J101:L101"/>
    <mergeCell ref="F37:M37"/>
    <mergeCell ref="F38:M38"/>
    <mergeCell ref="H62:I62"/>
    <mergeCell ref="F32:M32"/>
  </mergeCells>
  <pageMargins left="0.25" right="0.25" top="0.75" bottom="0.75" header="0.3" footer="0.3"/>
  <ignoredErrors>
    <ignoredError numberStoredAsText="1" sqref="A2:W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COMPRAVENTA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